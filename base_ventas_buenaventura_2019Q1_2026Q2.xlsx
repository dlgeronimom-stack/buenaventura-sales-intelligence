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73370b353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Ventas" sheetId="1" r:id="R01d6b912210e4aa6"/>
    <x:sheet xmlns:r="http://schemas.openxmlformats.org/officeDocument/2006/relationships" name="Control_Anual" sheetId="2" r:id="R5eea4379d4324327"/>
    <x:sheet xmlns:r="http://schemas.openxmlformats.org/officeDocument/2006/relationships" name="Diccionario" sheetId="3" r:id="Rf065a8bc4a9a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;[Red](#,##0.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32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043f148394941" /><Relationship Type="http://schemas.openxmlformats.org/officeDocument/2006/relationships/theme" Target="/xl/theme/theme1.xml" Id="R5eaa5603a4bc4a85" /><Relationship Type="http://schemas.openxmlformats.org/officeDocument/2006/relationships/sharedStrings" Target="/xl/sharedStrings.xml" Id="R78e12fc9edbf4eb5" /><Relationship Type="http://schemas.openxmlformats.org/officeDocument/2006/relationships/worksheet" Target="/xl/worksheets/sheet1.xml" Id="R01d6b912210e4aa6" /><Relationship Type="http://schemas.openxmlformats.org/officeDocument/2006/relationships/worksheet" Target="/xl/worksheets/sheet2.xml" Id="R5eea4379d4324327" /><Relationship Type="http://schemas.openxmlformats.org/officeDocument/2006/relationships/worksheet" Target="/xl/worksheets/sheet3.xml" Id="Rf065a8bc4a9a4389" /></Relationships>
</file>

<file path=xl/tables/table1.xml><?xml version="1.0" encoding="utf-8"?>
<x:table xmlns:x="http://schemas.openxmlformats.org/spreadsheetml/2006/main" id="1" name="BaseVentasBuenaventura" displayName="BaseVentasBuenaventura" ref="A1:I31" headerRowCount="1" totalsRowCount="0" totalsRowShown="0">
  <x:tableColumns count="9">
    <x:tableColumn id="1" name="trimestre"/>
    <x:tableColumn id="2" name="anio"/>
    <x:tableColumn id="3" name="numero_trimestre"/>
    <x:tableColumn id="4" name="total_revenues_usd_millones"/>
    <x:tableColumn id="5" name="unidad"/>
    <x:tableColumn id="6" name="metodo_dato"/>
    <x:tableColumn id="7" name="documento_fuente"/>
    <x:tableColumn id="8" name="fuente_url"/>
    <x:tableColumn id="9" name="no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AnualVentas" displayName="ControlAnualVentas" ref="A1:I9" headerRowCount="1" totalsRowCount="0" totalsRowShown="0">
  <x:tableColumns count="9">
    <x:tableColumn id="1" name="anio"/>
    <x:tableColumn id="2" name="tipo_periodo"/>
    <x:tableColumn id="3" name="total_oficial_usd_millones"/>
    <x:tableColumn id="4" name="suma_trimestres_base_usd_millones"/>
    <x:tableColumn id="5" name="diferencia_suma_menos_oficial_usd_millones"/>
    <x:tableColumn id="6" name="estado_control"/>
    <x:tableColumn id="7" name="documento_fuente"/>
    <x:tableColumn id="8" name="fuente_url"/>
    <x:tableColumn id="9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cionarioVentas" displayName="DiccionarioVentas" ref="A1:C14" headerRowCount="1" totalsRowCount="0" totalsRowShown="0">
  <x:tableColumns count="3">
    <x:tableColumn id="1" name="Campo"/>
    <x:tableColumn id="2" name="Definición"/>
    <x:tableColumn id="3" name="Uso / crite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9016b1d5a445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2365fa6b0142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79a9ebb5bb1485a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9" hidden="0" customWidth="1"/>
    <x:col min="3" max="3" width="17" hidden="0" customWidth="1"/>
    <x:col min="4" max="4" width="25" hidden="0" customWidth="1"/>
    <x:col min="5" max="5" width="16" hidden="0" customWidth="1"/>
    <x:col min="6" max="6" width="34" hidden="0" customWidth="1"/>
    <x:col min="7" max="7" width="48" hidden="0" customWidth="1"/>
    <x:col min="8" max="8" width="60" hidden="0" customWidth="1"/>
    <x:col min="9" max="9" width="72" hidden="0" customWidth="1"/>
  </x:cols>
  <x:sheetData>
    <x:row r="1" ht="34" customHeight="1">
      <x:c r="A1" s="6" t="str">
        <x:v>trimestre</x:v>
      </x:c>
      <x:c r="B1" s="6" t="str">
        <x:v>anio</x:v>
      </x:c>
      <x:c r="C1" s="6" t="str">
        <x:v>numero_trimestre</x:v>
      </x:c>
      <x:c r="D1" s="6" t="str">
        <x:v>total_revenues_usd_millones</x:v>
      </x:c>
      <x:c r="E1" s="6" t="str">
        <x:v>unidad</x:v>
      </x:c>
      <x:c r="F1" s="6" t="str">
        <x:v>metodo_dato</x:v>
      </x:c>
      <x:c r="G1" s="6" t="str">
        <x:v>documento_fuente</x:v>
      </x:c>
      <x:c r="H1" s="6" t="str">
        <x:v>fuente_url</x:v>
      </x:c>
      <x:c r="I1" s="6" t="str">
        <x:v>nota</x:v>
      </x:c>
    </x:row>
    <x:row r="2">
      <x:c r="A2" s="12" t="str">
        <x:v>2019Q1</x:v>
      </x:c>
      <x:c r="B2" s="16" t="n">
        <x:v>2019</x:v>
      </x:c>
      <x:c r="C2" s="16" t="n">
        <x:v>1</x:v>
      </x:c>
      <x:c r="D2" s="17" t="n">
        <x:v>186.1</x:v>
      </x:c>
      <x:c r="E2" s="12" t="str">
        <x:v>US$ millones</x:v>
      </x:c>
      <x:c r="F2" s="12" t="str">
        <x:v>COMPARATIVO OFICIAL</x:v>
      </x:c>
      <x:c r="G2" s="12" t="str">
        <x:v>Presentación corporativa de resultados 1Q20; muestra el comparativo 1Q19</x:v>
      </x:c>
      <x:c r="H2" s="12" t="str">
        <x:v>https://buenaventura.com/wp-content/uploads/2024/11/pre2020-06.pdf</x:v>
      </x:c>
      <x:c r="I2" s="12" t="str">
        <x:v>Comparativo oficial publicado por Buenaventura.</x:v>
      </x:c>
    </x:row>
    <x:row r="3">
      <x:c r="A3" s="12" t="str">
        <x:v>2019Q2</x:v>
      </x:c>
      <x:c r="B3" s="16" t="n">
        <x:v>2019</x:v>
      </x:c>
      <x:c r="C3" s="16" t="n">
        <x:v>2</x:v>
      </x:c>
      <x:c r="D3" s="17" t="n">
        <x:v>216.1</x:v>
      </x:c>
      <x:c r="E3" s="12" t="str">
        <x:v>US$ millones</x:v>
      </x:c>
      <x:c r="F3" s="12" t="str">
        <x:v>COMUNICADO/PRESENTACION OFICIAL</x:v>
      </x:c>
      <x:c r="G3" s="12" t="str">
        <x:v>Reporte oficial de resultados 2Q19 y 6M19</x:v>
      </x:c>
      <x:c r="H3" s="12" t="str">
        <x:v>https://buenaventura.com/wp-content/uploads/2024/09/2do-trimestre-2019.pdf</x:v>
      </x:c>
      <x:c r="I3" s="12" t="str">
        <x:v>Dato trimestral publicado directamente.</x:v>
      </x:c>
    </x:row>
    <x:row r="4">
      <x:c r="A4" s="12" t="str">
        <x:v>2019Q3</x:v>
      </x:c>
      <x:c r="B4" s="16" t="n">
        <x:v>2019</x:v>
      </x:c>
      <x:c r="C4" s="16" t="n">
        <x:v>3</x:v>
      </x:c>
      <x:c r="D4" s="17" t="n">
        <x:v>230.2</x:v>
      </x:c>
      <x:c r="E4" s="12" t="str">
        <x:v>US$ millones</x:v>
      </x:c>
      <x:c r="F4" s="12" t="str">
        <x:v>COMUNICADO/PRESENTACION OFICIAL</x:v>
      </x:c>
      <x:c r="G4" s="12" t="str">
        <x:v>Reporte oficial de resultados 3Q19 y 9M19</x:v>
      </x:c>
      <x:c r="H4" s="12" t="str">
        <x:v>https://buenaventura.com/wp-content/uploads/2024/09/3er-trimestre-2019.pdf</x:v>
      </x:c>
      <x:c r="I4" s="12" t="str">
        <x:v>Dato trimestral publicado directamente como Total Revenues.</x:v>
      </x:c>
    </x:row>
    <x:row r="5">
      <x:c r="A5" s="12" t="str">
        <x:v>2019Q4</x:v>
      </x:c>
      <x:c r="B5" s="16" t="n">
        <x:v>2019</x:v>
      </x:c>
      <x:c r="C5" s="16" t="n">
        <x:v>4</x:v>
      </x:c>
      <x:c r="D5" s="17" t="n">
        <x:v>235.5</x:v>
      </x:c>
      <x:c r="E5" s="12" t="str">
        <x:v>US$ millones</x:v>
      </x:c>
      <x:c r="F5" s="12" t="str">
        <x:v>COMUNICADO/PRESENTACION OFICIAL</x:v>
      </x:c>
      <x:c r="G5" s="12" t="str">
        <x:v>Presentación corporativa de resultados 4Q19/FY19</x:v>
      </x:c>
      <x:c r="H5" s="12" t="str">
        <x:v>https://buenaventura.com/wp-content/uploads/2024/11/pre2020-11.pdf</x:v>
      </x:c>
      <x:c r="I5" s="12" t="str">
        <x:v>Dato trimestral publicado directamente en la presentación.</x:v>
      </x:c>
    </x:row>
    <x:row r="6">
      <x:c r="A6" s="12" t="str">
        <x:v>2020Q1</x:v>
      </x:c>
      <x:c r="B6" s="16" t="n">
        <x:v>2020</x:v>
      </x:c>
      <x:c r="C6" s="16" t="n">
        <x:v>1</x:v>
      </x:c>
      <x:c r="D6" s="17" t="n">
        <x:v>114.5</x:v>
      </x:c>
      <x:c r="E6" s="12" t="str">
        <x:v>US$ millones</x:v>
      </x:c>
      <x:c r="F6" s="12" t="str">
        <x:v>COMUNICADO/PRESENTACION OFICIAL</x:v>
      </x:c>
      <x:c r="G6" s="12" t="str">
        <x:v>Presentación corporativa de resultados 1Q20</x:v>
      </x:c>
      <x:c r="H6" s="12" t="str">
        <x:v>https://buenaventura.com/wp-content/uploads/2024/11/pre2020-06.pdf</x:v>
      </x:c>
      <x:c r="I6" s="12" t="str">
        <x:v>Dato trimestral publicado directamente.</x:v>
      </x:c>
    </x:row>
    <x:row r="7">
      <x:c r="A7" s="12" t="str">
        <x:v>2020Q2</x:v>
      </x:c>
      <x:c r="B7" s="16" t="n">
        <x:v>2020</x:v>
      </x:c>
      <x:c r="C7" s="16" t="n">
        <x:v>2</x:v>
      </x:c>
      <x:c r="D7" s="17" t="n">
        <x:v>97.8</x:v>
      </x:c>
      <x:c r="E7" s="12" t="str">
        <x:v>US$ millones</x:v>
      </x:c>
      <x:c r="F7" s="12" t="str">
        <x:v>COMPARATIVO OFICIAL</x:v>
      </x:c>
      <x:c r="G7" s="12" t="str">
        <x:v>Presentación corporativa de resultados 2Q21; comparativo 2Q20</x:v>
      </x:c>
      <x:c r="H7" s="12" t="str">
        <x:v>https://buenaventura.com/wp-content/uploads/2024/11/pre2021-03.pdf</x:v>
      </x:c>
      <x:c r="I7" s="12" t="str">
        <x:v>Comparativo oficial publicado por Buenaventura.</x:v>
      </x:c>
    </x:row>
    <x:row r="8">
      <x:c r="A8" s="12" t="str">
        <x:v>2020Q3</x:v>
      </x:c>
      <x:c r="B8" s="16" t="n">
        <x:v>2020</x:v>
      </x:c>
      <x:c r="C8" s="16" t="n">
        <x:v>3</x:v>
      </x:c>
      <x:c r="D8" s="17" t="n">
        <x:v>228.2</x:v>
      </x:c>
      <x:c r="E8" s="12" t="str">
        <x:v>US$ millones</x:v>
      </x:c>
      <x:c r="F8" s="12" t="str">
        <x:v>COMUNICADO/PRESENTACION OFICIAL</x:v>
      </x:c>
      <x:c r="G8" s="12" t="str">
        <x:v>Presentación corporativa de resultados 3Q20</x:v>
      </x:c>
      <x:c r="H8" s="12" t="str">
        <x:v>https://buenaventura.com/wp-content/uploads/2024/11/pre2020-02.pdf</x:v>
      </x:c>
      <x:c r="I8" s="12" t="str">
        <x:v>Dato trimestral publicado directamente.</x:v>
      </x:c>
    </x:row>
    <x:row r="9">
      <x:c r="A9" s="12" t="str">
        <x:v>2020Q4</x:v>
      </x:c>
      <x:c r="B9" s="16" t="n">
        <x:v>2020</x:v>
      </x:c>
      <x:c r="C9" s="16" t="n">
        <x:v>4</x:v>
      </x:c>
      <x:c r="D9" s="17" t="n">
        <x:v>236.1</x:v>
      </x:c>
      <x:c r="E9" s="12" t="str">
        <x:v>US$ millones</x:v>
      </x:c>
      <x:c r="F9" s="12" t="str">
        <x:v>COMPARATIVO OFICIAL</x:v>
      </x:c>
      <x:c r="G9" s="12" t="str">
        <x:v>Presentación corporativa de resultados 4Q21/FY21; comparativo 4Q20</x:v>
      </x:c>
      <x:c r="H9" s="12" t="str">
        <x:v>https://buenaventura.com/wp-content/uploads/2024/11/pre2022-05.pdf</x:v>
      </x:c>
      <x:c r="I9" s="12" t="str">
        <x:v>Comparativo oficial publicado por Buenaventura; se preserva el valor mostrado.</x:v>
      </x:c>
    </x:row>
    <x:row r="10">
      <x:c r="A10" s="12" t="str">
        <x:v>2021Q1</x:v>
      </x:c>
      <x:c r="B10" s="16" t="n">
        <x:v>2021</x:v>
      </x:c>
      <x:c r="C10" s="16" t="n">
        <x:v>1</x:v>
      </x:c>
      <x:c r="D10" s="17" t="n">
        <x:v>185.9</x:v>
      </x:c>
      <x:c r="E10" s="12" t="str">
        <x:v>US$ millones</x:v>
      </x:c>
      <x:c r="F10" s="12" t="str">
        <x:v>COMUNICADO/PRESENTACION OFICIAL</x:v>
      </x:c>
      <x:c r="G10" s="12" t="str">
        <x:v>Presentación corporativa de resultados 1Q21</x:v>
      </x:c>
      <x:c r="H10" s="12" t="str">
        <x:v>https://buenaventura.com/wp-content/uploads/2024/11/pre2021-07.pdf</x:v>
      </x:c>
      <x:c r="I10" s="12" t="str">
        <x:v>Dato trimestral publicado directamente.</x:v>
      </x:c>
    </x:row>
    <x:row r="11">
      <x:c r="A11" s="12" t="str">
        <x:v>2021Q2</x:v>
      </x:c>
      <x:c r="B11" s="16" t="n">
        <x:v>2021</x:v>
      </x:c>
      <x:c r="C11" s="16" t="n">
        <x:v>2</x:v>
      </x:c>
      <x:c r="D11" s="17" t="n">
        <x:v>240.9</x:v>
      </x:c>
      <x:c r="E11" s="12" t="str">
        <x:v>US$ millones</x:v>
      </x:c>
      <x:c r="F11" s="12" t="str">
        <x:v>COMUNICADO/PRESENTACION OFICIAL</x:v>
      </x:c>
      <x:c r="G11" s="12" t="str">
        <x:v>Presentación corporativa de resultados 2Q21</x:v>
      </x:c>
      <x:c r="H11" s="12" t="str">
        <x:v>https://buenaventura.com/wp-content/uploads/2024/11/pre2021-03.pdf</x:v>
      </x:c>
      <x:c r="I11" s="12" t="str">
        <x:v>Dato trimestral publicado directamente.</x:v>
      </x:c>
    </x:row>
    <x:row r="12">
      <x:c r="A12" s="12" t="str">
        <x:v>2021Q3</x:v>
      </x:c>
      <x:c r="B12" s="16" t="n">
        <x:v>2021</x:v>
      </x:c>
      <x:c r="C12" s="16" t="n">
        <x:v>3</x:v>
      </x:c>
      <x:c r="D12" s="17" t="n">
        <x:v>220.4</x:v>
      </x:c>
      <x:c r="E12" s="12" t="str">
        <x:v>US$ millones</x:v>
      </x:c>
      <x:c r="F12" s="12" t="str">
        <x:v>COMUNICADO/PRESENTACION OFICIAL</x:v>
      </x:c>
      <x:c r="G12" s="12" t="str">
        <x:v>Presentación corporativa de resultados 3Q21</x:v>
      </x:c>
      <x:c r="H12" s="12" t="str">
        <x:v>https://buenaventura.com/wp-content/uploads/2024/11/pre2021-01.pdf</x:v>
      </x:c>
      <x:c r="I12" s="12" t="str">
        <x:v>Dato trimestral publicado directamente.</x:v>
      </x:c>
    </x:row>
    <x:row r="13">
      <x:c r="A13" s="12" t="str">
        <x:v>2021Q4</x:v>
      </x:c>
      <x:c r="B13" s="16" t="n">
        <x:v>2021</x:v>
      </x:c>
      <x:c r="C13" s="16" t="n">
        <x:v>4</x:v>
      </x:c>
      <x:c r="D13" s="17" t="n">
        <x:v>253.3</x:v>
      </x:c>
      <x:c r="E13" s="12" t="str">
        <x:v>US$ millones</x:v>
      </x:c>
      <x:c r="F13" s="12" t="str">
        <x:v>COMUNICADO/PRESENTACION OFICIAL</x:v>
      </x:c>
      <x:c r="G13" s="12" t="str">
        <x:v>Presentación corporativa de resultados 4Q21/FY21</x:v>
      </x:c>
      <x:c r="H13" s="12" t="str">
        <x:v>https://buenaventura.com/wp-content/uploads/2024/11/pre2022-05.pdf</x:v>
      </x:c>
      <x:c r="I13" s="12" t="str">
        <x:v>Dato trimestral publicado directamente.</x:v>
      </x:c>
    </x:row>
    <x:row r="14">
      <x:c r="A14" s="12" t="str">
        <x:v>2022Q1</x:v>
      </x:c>
      <x:c r="B14" s="16" t="n">
        <x:v>2022</x:v>
      </x:c>
      <x:c r="C14" s="16" t="n">
        <x:v>1</x:v>
      </x:c>
      <x:c r="D14" s="17" t="n">
        <x:v>232.9</x:v>
      </x:c>
      <x:c r="E14" s="12" t="str">
        <x:v>US$ millones</x:v>
      </x:c>
      <x:c r="F14" s="12" t="str">
        <x:v>COMUNICADO/PRESENTACION OFICIAL</x:v>
      </x:c>
      <x:c r="G14" s="12" t="str">
        <x:v>Presentación corporativa de resultados 1Q22</x:v>
      </x:c>
      <x:c r="H14" s="12" t="str">
        <x:v>https://buenaventura.com/wp-content/uploads/2024/11/pre2022-04.pdf</x:v>
      </x:c>
      <x:c r="I14" s="12" t="str">
        <x:v>Dato trimestral publicado directamente.</x:v>
      </x:c>
    </x:row>
    <x:row r="15">
      <x:c r="A15" s="12" t="str">
        <x:v>2022Q2</x:v>
      </x:c>
      <x:c r="B15" s="16" t="n">
        <x:v>2022</x:v>
      </x:c>
      <x:c r="C15" s="16" t="n">
        <x:v>2</x:v>
      </x:c>
      <x:c r="D15" s="17" t="n">
        <x:v>150.1</x:v>
      </x:c>
      <x:c r="E15" s="12" t="str">
        <x:v>US$ millones</x:v>
      </x:c>
      <x:c r="F15" s="12" t="str">
        <x:v>COMUNICADO/PRESENTACION OFICIAL</x:v>
      </x:c>
      <x:c r="G15" s="12" t="str">
        <x:v>Reporte oficial de resultados 2Q22 y 6M22</x:v>
      </x:c>
      <x:c r="H15" s="12" t="str">
        <x:v>https://buenaventura.com/wp-content/uploads/2024/09/2do-trimestre-2022.pdf</x:v>
      </x:c>
      <x:c r="I15" s="12" t="str">
        <x:v>Dato trimestral publicado directamente.</x:v>
      </x:c>
    </x:row>
    <x:row r="16">
      <x:c r="A16" s="12" t="str">
        <x:v>2022Q3</x:v>
      </x:c>
      <x:c r="B16" s="16" t="n">
        <x:v>2022</x:v>
      </x:c>
      <x:c r="C16" s="16" t="n">
        <x:v>3</x:v>
      </x:c>
      <x:c r="D16" s="17" t="n">
        <x:v>195.4</x:v>
      </x:c>
      <x:c r="E16" s="12" t="str">
        <x:v>US$ millones</x:v>
      </x:c>
      <x:c r="F16" s="12" t="str">
        <x:v>COMUNICADO/PRESENTACION OFICIAL</x:v>
      </x:c>
      <x:c r="G16" s="12" t="str">
        <x:v>Presentación corporativa de resultados 3Q22</x:v>
      </x:c>
      <x:c r="H16" s="12" t="str">
        <x:v>https://buenaventura.com/wp-content/uploads/2024/11/pre2022-01.pdf</x:v>
      </x:c>
      <x:c r="I16" s="12" t="str">
        <x:v>Dato trimestral publicado directamente.</x:v>
      </x:c>
    </x:row>
    <x:row r="17">
      <x:c r="A17" s="12" t="str">
        <x:v>2022Q4</x:v>
      </x:c>
      <x:c r="B17" s="16" t="n">
        <x:v>2022</x:v>
      </x:c>
      <x:c r="C17" s="16" t="n">
        <x:v>4</x:v>
      </x:c>
      <x:c r="D17" s="17" t="n">
        <x:v>246.4</x:v>
      </x:c>
      <x:c r="E17" s="12" t="str">
        <x:v>US$ millones</x:v>
      </x:c>
      <x:c r="F17" s="12" t="str">
        <x:v>COMUNICADO/PRESENTACION OFICIAL</x:v>
      </x:c>
      <x:c r="G17" s="12" t="str">
        <x:v>Reporte oficial de resultados 4Q22/FY22</x:v>
      </x:c>
      <x:c r="H17" s="12" t="str">
        <x:v>https://buenaventura.com/wp-content/uploads/2024/09/4to-trimestre-2022.pdf</x:v>
      </x:c>
      <x:c r="I17" s="12" t="str">
        <x:v>Dato trimestral publicado directamente.</x:v>
      </x:c>
    </x:row>
    <x:row r="18">
      <x:c r="A18" s="12" t="str">
        <x:v>2023Q1</x:v>
      </x:c>
      <x:c r="B18" s="16" t="n">
        <x:v>2023</x:v>
      </x:c>
      <x:c r="C18" s="16" t="n">
        <x:v>1</x:v>
      </x:c>
      <x:c r="D18" s="17" t="n">
        <x:v>185.5</x:v>
      </x:c>
      <x:c r="E18" s="12" t="str">
        <x:v>US$ millones</x:v>
      </x:c>
      <x:c r="F18" s="12" t="str">
        <x:v>COMUNICADO/PRESENTACION OFICIAL</x:v>
      </x:c>
      <x:c r="G18" s="12" t="str">
        <x:v>Reporte oficial de resultados 1Q23</x:v>
      </x:c>
      <x:c r="H18" s="12" t="str">
        <x:v>https://buenaventura.com/wp-content/uploads/2024/09/1er-trimestre-2023.pdf</x:v>
      </x:c>
      <x:c r="I18" s="12" t="str">
        <x:v>Dato trimestral publicado directamente.</x:v>
      </x:c>
    </x:row>
    <x:row r="19">
      <x:c r="A19" s="12" t="str">
        <x:v>2023Q2</x:v>
      </x:c>
      <x:c r="B19" s="16" t="n">
        <x:v>2023</x:v>
      </x:c>
      <x:c r="C19" s="16" t="n">
        <x:v>2</x:v>
      </x:c>
      <x:c r="D19" s="17" t="n">
        <x:v>173.3</x:v>
      </x:c>
      <x:c r="E19" s="12" t="str">
        <x:v>US$ millones</x:v>
      </x:c>
      <x:c r="F19" s="12" t="str">
        <x:v>COMUNICADO/PRESENTACION OFICIAL</x:v>
      </x:c>
      <x:c r="G19" s="12" t="str">
        <x:v>Reporte oficial de resultados 2Q23 y 6M23</x:v>
      </x:c>
      <x:c r="H19" s="12" t="str">
        <x:v>https://buenaventura.com/wp-content/uploads/2024/09/2do-trimestre-2023.pdf</x:v>
      </x:c>
      <x:c r="I19" s="12" t="str">
        <x:v>Dato trimestral publicado directamente.</x:v>
      </x:c>
    </x:row>
    <x:row r="20">
      <x:c r="A20" s="12" t="str">
        <x:v>2023Q3</x:v>
      </x:c>
      <x:c r="B20" s="16" t="n">
        <x:v>2023</x:v>
      </x:c>
      <x:c r="C20" s="16" t="n">
        <x:v>3</x:v>
      </x:c>
      <x:c r="D20" s="17" t="n">
        <x:v>211.3</x:v>
      </x:c>
      <x:c r="E20" s="12" t="str">
        <x:v>US$ millones</x:v>
      </x:c>
      <x:c r="F20" s="12" t="str">
        <x:v>COMUNICADO/PRESENTACION OFICIAL</x:v>
      </x:c>
      <x:c r="G20" s="12" t="str">
        <x:v>Reporte oficial de resultados 3Q23 y 9M23</x:v>
      </x:c>
      <x:c r="H20" s="12" t="str">
        <x:v>https://buenaventura.com/wp-content/uploads/2024/09/3er-trimestre-2023.pdf</x:v>
      </x:c>
      <x:c r="I20" s="12" t="str">
        <x:v>Dato trimestral publicado directamente.</x:v>
      </x:c>
    </x:row>
    <x:row r="21">
      <x:c r="A21" s="12" t="str">
        <x:v>2023Q4</x:v>
      </x:c>
      <x:c r="B21" s="16" t="n">
        <x:v>2023</x:v>
      </x:c>
      <x:c r="C21" s="16" t="n">
        <x:v>4</x:v>
      </x:c>
      <x:c r="D21" s="17" t="n">
        <x:v>253.8</x:v>
      </x:c>
      <x:c r="E21" s="12" t="str">
        <x:v>US$ millones</x:v>
      </x:c>
      <x:c r="F21" s="12" t="str">
        <x:v>COMUNICADO/PRESENTACION OFICIAL</x:v>
      </x:c>
      <x:c r="G21" s="12" t="str">
        <x:v>Reporte oficial de resultados 4Q23/FY23</x:v>
      </x:c>
      <x:c r="H21" s="12" t="str">
        <x:v>https://buenaventura.com/wp-content/uploads/2024/09/4to-trimestre-2023.pdf</x:v>
      </x:c>
      <x:c r="I21" s="12" t="str">
        <x:v>Dato trimestral publicado directamente.</x:v>
      </x:c>
    </x:row>
    <x:row r="22">
      <x:c r="A22" s="12" t="str">
        <x:v>2024Q1</x:v>
      </x:c>
      <x:c r="B22" s="16" t="n">
        <x:v>2024</x:v>
      </x:c>
      <x:c r="C22" s="16" t="n">
        <x:v>1</x:v>
      </x:c>
      <x:c r="D22" s="17" t="n">
        <x:v>246.8</x:v>
      </x:c>
      <x:c r="E22" s="12" t="str">
        <x:v>US$ millones</x:v>
      </x:c>
      <x:c r="F22" s="12" t="str">
        <x:v>COMUNICADO/PRESENTACION OFICIAL</x:v>
      </x:c>
      <x:c r="G22" s="12" t="str">
        <x:v>Reporte oficial de resultados 1Q24</x:v>
      </x:c>
      <x:c r="H22" s="12" t="str">
        <x:v>https://buenaventura.com/wp-content/uploads/2024/09/1er-trimestre-2024.pdf</x:v>
      </x:c>
      <x:c r="I22" s="12" t="str">
        <x:v>Dato trimestral publicado directamente.</x:v>
      </x:c>
    </x:row>
    <x:row r="23">
      <x:c r="A23" s="12" t="str">
        <x:v>2024Q2</x:v>
      </x:c>
      <x:c r="B23" s="16" t="n">
        <x:v>2024</x:v>
      </x:c>
      <x:c r="C23" s="16" t="n">
        <x:v>2</x:v>
      </x:c>
      <x:c r="D23" s="17" t="n">
        <x:v>277.1</x:v>
      </x:c>
      <x:c r="E23" s="12" t="str">
        <x:v>US$ millones</x:v>
      </x:c>
      <x:c r="F23" s="12" t="str">
        <x:v>COMUNICADO/PRESENTACION OFICIAL</x:v>
      </x:c>
      <x:c r="G23" s="12" t="str">
        <x:v>Reporte oficial de resultados 2Q24 y 6M24</x:v>
      </x:c>
      <x:c r="H23" s="12" t="str">
        <x:v>https://buenaventura.com/wp-content/uploads/2024/09/2do-trimestre-2024.pdf</x:v>
      </x:c>
      <x:c r="I23" s="12" t="str">
        <x:v>Dato trimestral publicado directamente.</x:v>
      </x:c>
    </x:row>
    <x:row r="24">
      <x:c r="A24" s="12" t="str">
        <x:v>2024Q3</x:v>
      </x:c>
      <x:c r="B24" s="16" t="n">
        <x:v>2024</x:v>
      </x:c>
      <x:c r="C24" s="16" t="n">
        <x:v>3</x:v>
      </x:c>
      <x:c r="D24" s="17" t="n">
        <x:v>331.1</x:v>
      </x:c>
      <x:c r="E24" s="12" t="str">
        <x:v>US$ millones</x:v>
      </x:c>
      <x:c r="F24" s="12" t="str">
        <x:v>COMPARATIVO OFICIAL POSTERIOR</x:v>
      </x:c>
      <x:c r="G24" s="12" t="str">
        <x:v>Reporte oficial de resultados 3Q25; comparativo publicado de 3Q24</x:v>
      </x:c>
      <x:c r="H24" s="12" t="str">
        <x:v>https://buenaventura.com/wp-content/uploads/2025/02/3Q25-BVN-Earnings-Press-Release-vRev.pdf</x:v>
      </x:c>
      <x:c r="I24" s="12" t="str">
        <x:v>Se toma el valor comparativo oficial de 3Q24 mostrado por la empresa en su reporte posterior.</x:v>
      </x:c>
    </x:row>
    <x:row r="25">
      <x:c r="A25" s="12" t="str">
        <x:v>2024Q4</x:v>
      </x:c>
      <x:c r="B25" s="16" t="n">
        <x:v>2024</x:v>
      </x:c>
      <x:c r="C25" s="16" t="n">
        <x:v>4</x:v>
      </x:c>
      <x:c r="D25" s="17" t="n">
        <x:v>299.6</x:v>
      </x:c>
      <x:c r="E25" s="12" t="str">
        <x:v>US$ millones</x:v>
      </x:c>
      <x:c r="F25" s="12" t="str">
        <x:v>COMUNICADO/PRESENTACION OFICIAL</x:v>
      </x:c>
      <x:c r="G25" s="12" t="str">
        <x:v>Reporte oficial de resultados 4Q24/FY24</x:v>
      </x:c>
      <x:c r="H25" s="12" t="str">
        <x:v>https://www.buenaventura.com/wp-content/uploads/2025/02/4Q24-BVN-Earnings-Press-Release.pdf</x:v>
      </x:c>
      <x:c r="I25" s="12" t="str">
        <x:v>Dato trimestral publicado directamente.</x:v>
      </x:c>
    </x:row>
    <x:row r="26">
      <x:c r="A26" s="12" t="str">
        <x:v>2025Q1</x:v>
      </x:c>
      <x:c r="B26" s="16" t="n">
        <x:v>2025</x:v>
      </x:c>
      <x:c r="C26" s="16" t="n">
        <x:v>1</x:v>
      </x:c>
      <x:c r="D26" s="17" t="n">
        <x:v>307.7</x:v>
      </x:c>
      <x:c r="E26" s="12" t="str">
        <x:v>US$ millones</x:v>
      </x:c>
      <x:c r="F26" s="12" t="str">
        <x:v>COMUNICADO/PRESENTACION OFICIAL</x:v>
      </x:c>
      <x:c r="G26" s="12" t="str">
        <x:v>Reporte oficial de resultados 1Q25</x:v>
      </x:c>
      <x:c r="H26" s="12" t="str">
        <x:v>https://www.buenaventura.com/wp-content/uploads/2025/02/1Q25-BVN-Earnings-Press-Release-1.pdf</x:v>
      </x:c>
      <x:c r="I26" s="12" t="str">
        <x:v>Dato trimestral publicado directamente.</x:v>
      </x:c>
    </x:row>
    <x:row r="27">
      <x:c r="A27" s="12" t="str">
        <x:v>2025Q2</x:v>
      </x:c>
      <x:c r="B27" s="16" t="n">
        <x:v>2025</x:v>
      </x:c>
      <x:c r="C27" s="16" t="n">
        <x:v>2</x:v>
      </x:c>
      <x:c r="D27" s="17" t="n">
        <x:v>369.5</x:v>
      </x:c>
      <x:c r="E27" s="12" t="str">
        <x:v>US$ millones</x:v>
      </x:c>
      <x:c r="F27" s="12" t="str">
        <x:v>COMUNICADO/PRESENTACION OFICIAL</x:v>
      </x:c>
      <x:c r="G27" s="12" t="str">
        <x:v>Reporte oficial de resultados 2Q25 y 6M25</x:v>
      </x:c>
      <x:c r="H27" s="12" t="str">
        <x:v>https://www.buenaventura.com/wp-content/uploads/2025/02/2Q25-BVN-Earnings-Press-Release.pdf</x:v>
      </x:c>
      <x:c r="I27" s="12" t="str">
        <x:v>Dato trimestral publicado directamente.</x:v>
      </x:c>
    </x:row>
    <x:row r="28">
      <x:c r="A28" s="12" t="str">
        <x:v>2025Q3</x:v>
      </x:c>
      <x:c r="B28" s="16" t="n">
        <x:v>2025</x:v>
      </x:c>
      <x:c r="C28" s="16" t="n">
        <x:v>3</x:v>
      </x:c>
      <x:c r="D28" s="17" t="n">
        <x:v>431</x:v>
      </x:c>
      <x:c r="E28" s="12" t="str">
        <x:v>US$ millones</x:v>
      </x:c>
      <x:c r="F28" s="12" t="str">
        <x:v>COMUNICADO/PRESENTACION OFICIAL</x:v>
      </x:c>
      <x:c r="G28" s="12" t="str">
        <x:v>Reporte oficial de resultados 3Q25 y 9M25</x:v>
      </x:c>
      <x:c r="H28" s="12" t="str">
        <x:v>https://buenaventura.com/wp-content/uploads/2025/02/3Q25-BVN-Earnings-Press-Release-vRev.pdf</x:v>
      </x:c>
      <x:c r="I28" s="12" t="str">
        <x:v>Dato trimestral publicado directamente.</x:v>
      </x:c>
    </x:row>
    <x:row r="29">
      <x:c r="A29" s="12" t="str">
        <x:v>2025Q4</x:v>
      </x:c>
      <x:c r="B29" s="16" t="n">
        <x:v>2025</x:v>
      </x:c>
      <x:c r="C29" s="16" t="n">
        <x:v>4</x:v>
      </x:c>
      <x:c r="D29" s="17" t="n">
        <x:v>623.4</x:v>
      </x:c>
      <x:c r="E29" s="12" t="str">
        <x:v>US$ millones</x:v>
      </x:c>
      <x:c r="F29" s="12" t="str">
        <x:v>COMUNICADO/PRESENTACION OFICIAL</x:v>
      </x:c>
      <x:c r="G29" s="12" t="str">
        <x:v>Reporte oficial de resultados 4Q25/FY25</x:v>
      </x:c>
      <x:c r="H29" s="12" t="str">
        <x:v>https://buenaventura.com/wp-content/uploads/2025/02/4Q25-BVN-Earnings-Press-Release-Vf.pdf</x:v>
      </x:c>
      <x:c r="I29" s="12" t="str">
        <x:v>Dato trimestral publicado directamente.</x:v>
      </x:c>
    </x:row>
    <x:row r="30">
      <x:c r="A30" s="12" t="str">
        <x:v>2026Q1</x:v>
      </x:c>
      <x:c r="B30" s="16" t="n">
        <x:v>2026</x:v>
      </x:c>
      <x:c r="C30" s="16" t="n">
        <x:v>1</x:v>
      </x:c>
      <x:c r="D30" s="17" t="n">
        <x:v>624.6</x:v>
      </x:c>
      <x:c r="E30" s="12" t="str">
        <x:v>US$ millones</x:v>
      </x:c>
      <x:c r="F30" s="12" t="str">
        <x:v>COMUNICADO/PRESENTACION OFICIAL</x:v>
      </x:c>
      <x:c r="G30" s="12" t="str">
        <x:v>Reporte oficial de resultados 1Q26</x:v>
      </x:c>
      <x:c r="H30" s="12" t="str">
        <x:v>https://buenaventura.com/wp-content/uploads/2026/04/1Q26-BVN-Earnings-Press-Release.pdf</x:v>
      </x:c>
      <x:c r="I30" s="12" t="str">
        <x:v>Dato trimestral publicado directamente; estado de resultados intermedio presenta total de ingresos de US$624.560 millones, redondeado a una decimal en el comunicado.</x:v>
      </x:c>
    </x:row>
    <x:row r="31">
      <x:c r="A31" s="12" t="str">
        <x:v>2026Q2</x:v>
      </x:c>
      <x:c r="B31" s="16" t="n">
        <x:v>2026</x:v>
      </x:c>
      <x:c r="C31" s="16" t="n">
        <x:v>2</x:v>
      </x:c>
      <x:c r="D31" s="17" t="n">
        <x:v>529</x:v>
      </x:c>
      <x:c r="E31" s="12" t="str">
        <x:v>US$ millones</x:v>
      </x:c>
      <x:c r="F31" s="12" t="str">
        <x:v>COMUNICADO OFICIAL SEC 6-K; VALIDADO CON ESTADOS FINANCIEROS</x:v>
      </x:c>
      <x:c r="G31" s="12" t="str">
        <x:v>Buenaventura Announces Second Quarter 2026 Results (Form 6-K, SEC)</x:v>
      </x:c>
      <x:c r="H31" s="12" t="str">
        <x:v>https://www.sec.gov/Archives/edgar/data/1013131/000110465926088868/tm2621768d1_6k.htm</x:v>
      </x:c>
      <x:c r="I31" s="12" t="str">
        <x:v>Total Revenues 2Q26 publicado como US$529.0 millones en el comunicado oficial SEC 6-K. Validación cruzada: estados financieros intermedios 2Q26 informan Total operating income de US$528.992 millones (US$000); redondeado a una decimal coincide. Estados financieros: https://buenaventura.com/wp-content/uploads/2026/04/2Q-Buenaventura-Consolidated-2026.pdf</x:v>
      </x:c>
    </x:row>
  </x:sheetData>
  <x:pageMargins left="0.7" right="0.7" top="0.75" bottom="0.75" header="0.3" footer="0.3"/>
  <x:tableParts count="1">
    <x:tablePart xmlns:r="http://schemas.openxmlformats.org/officeDocument/2006/relationships" r:id="Re39016b1d5a4457b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7" hidden="0" customWidth="1"/>
    <x:col min="4" max="4" width="30" hidden="0" customWidth="1"/>
    <x:col min="5" max="5" width="36" hidden="0" customWidth="1"/>
    <x:col min="6" max="6" width="19" hidden="0" customWidth="1"/>
    <x:col min="7" max="7" width="48" hidden="0" customWidth="1"/>
    <x:col min="8" max="8" width="65" hidden="0" customWidth="1"/>
    <x:col min="9" max="9" width="55" hidden="0" customWidth="1"/>
  </x:cols>
  <x:sheetData>
    <x:row r="1" ht="42" customHeight="1">
      <x:c r="A1" s="6" t="str">
        <x:v>anio</x:v>
      </x:c>
      <x:c r="B1" s="6" t="str">
        <x:v>tipo_periodo</x:v>
      </x:c>
      <x:c r="C1" s="6" t="str">
        <x:v>total_oficial_usd_millones</x:v>
      </x:c>
      <x:c r="D1" s="6" t="str">
        <x:v>suma_trimestres_base_usd_millones</x:v>
      </x:c>
      <x:c r="E1" s="6" t="str">
        <x:v>diferencia_suma_menos_oficial_usd_millones</x:v>
      </x:c>
      <x:c r="F1" s="6" t="str">
        <x:v>estado_control</x:v>
      </x:c>
      <x:c r="G1" s="6" t="str">
        <x:v>documento_fuente</x:v>
      </x:c>
      <x:c r="H1" s="6" t="str">
        <x:v>fuente_url</x:v>
      </x:c>
      <x:c r="I1" s="6" t="str">
        <x:v>nota</x:v>
      </x:c>
    </x:row>
    <x:row r="2">
      <x:c r="A2" s="12" t="n">
        <x:v>2019</x:v>
      </x:c>
      <x:c r="B2" s="12" t="str">
        <x:v>FY</x:v>
      </x:c>
      <x:c r="C2" s="17" t="n">
        <x:v>867.9</x:v>
      </x:c>
      <x:c r="D2" s="14" t="n">
        <x:f>SUM(Base_Ventas!D2:D5)</x:f>
        <x:v>867.9</x:v>
      </x:c>
      <x:c r="E2" s="14" t="n">
        <x:f>D2-C2</x:f>
        <x:v>0</x:v>
      </x:c>
      <x:c r="F2" s="12" t="str">
        <x:f>IF(ABS(E2)&lt;0.05,"OK",IF(ABS(E2)&lt;=0.15,"REVISAR REDONDEO","REVISAR"))</x:f>
        <x:v>OK</x:v>
      </x:c>
      <x:c r="G2" s="12" t="str">
        <x:v>Presentación oficial 4Q19/FY19</x:v>
      </x:c>
      <x:c r="H2" s="12" t="str">
        <x:v>https://buenaventura.com/wp-content/uploads/2024/11/pre2020-11.pdf</x:v>
      </x:c>
      <x:c r="I2" s="12" t="str">
        <x:v>Control de diferencia por redondeo de los valores trimestrales publicados.</x:v>
      </x:c>
    </x:row>
    <x:row r="3">
      <x:c r="A3" s="12" t="n">
        <x:v>2020</x:v>
      </x:c>
      <x:c r="B3" s="12" t="str">
        <x:v>FY</x:v>
      </x:c>
      <x:c r="C3" s="17" t="n">
        <x:v>676.5</x:v>
      </x:c>
      <x:c r="D3" s="14" t="n">
        <x:f>SUM(Base_Ventas!D6:D9)</x:f>
        <x:v>676.6</x:v>
      </x:c>
      <x:c r="E3" s="14" t="n">
        <x:f>D3-C3</x:f>
        <x:v>0.10000000000002274</x:v>
      </x:c>
      <x:c r="F3" s="12" t="str">
        <x:f>IF(ABS(E3)&lt;0.05,"OK",IF(ABS(E3)&lt;=0.15,"REVISAR REDONDEO","REVISAR"))</x:f>
        <x:v>REVISAR REDONDEO</x:v>
      </x:c>
      <x:c r="G3" s="12" t="str">
        <x:v>Presentación oficial 4Q21/FY21; comparativo FY20</x:v>
      </x:c>
      <x:c r="H3" s="12" t="str">
        <x:v>https://buenaventura.com/wp-content/uploads/2024/11/pre2022-05.pdf</x:v>
      </x:c>
      <x:c r="I3" s="12" t="str">
        <x:v>Control de diferencia por redondeo de los valores trimestrales publicados.</x:v>
      </x:c>
    </x:row>
    <x:row r="4">
      <x:c r="A4" s="12" t="n">
        <x:v>2021</x:v>
      </x:c>
      <x:c r="B4" s="12" t="str">
        <x:v>FY</x:v>
      </x:c>
      <x:c r="C4" s="17" t="n">
        <x:v>900.5</x:v>
      </x:c>
      <x:c r="D4" s="14" t="n">
        <x:f>SUM(Base_Ventas!D10:D13)</x:f>
        <x:v>900.5</x:v>
      </x:c>
      <x:c r="E4" s="14" t="n">
        <x:f>D4-C4</x:f>
        <x:v>0</x:v>
      </x:c>
      <x:c r="F4" s="12" t="str">
        <x:f>IF(ABS(E4)&lt;0.05,"OK",IF(ABS(E4)&lt;=0.15,"REVISAR REDONDEO","REVISAR"))</x:f>
        <x:v>OK</x:v>
      </x:c>
      <x:c r="G4" s="12" t="str">
        <x:v>Presentación oficial 4Q21/FY21</x:v>
      </x:c>
      <x:c r="H4" s="12" t="str">
        <x:v>https://buenaventura.com/wp-content/uploads/2024/11/pre2022-05.pdf</x:v>
      </x:c>
      <x:c r="I4" s="12" t="str">
        <x:v>Control de diferencia por redondeo de los valores trimestrales publicados.</x:v>
      </x:c>
    </x:row>
    <x:row r="5">
      <x:c r="A5" s="12" t="n">
        <x:v>2022</x:v>
      </x:c>
      <x:c r="B5" s="12" t="str">
        <x:v>FY</x:v>
      </x:c>
      <x:c r="C5" s="17" t="n">
        <x:v>824.8</x:v>
      </x:c>
      <x:c r="D5" s="14" t="n">
        <x:f>SUM(Base_Ventas!D14:D17)</x:f>
        <x:v>824.8</x:v>
      </x:c>
      <x:c r="E5" s="14" t="n">
        <x:f>D5-C5</x:f>
        <x:v>0</x:v>
      </x:c>
      <x:c r="F5" s="12" t="str">
        <x:f>IF(ABS(E5)&lt;0.05,"OK",IF(ABS(E5)&lt;=0.15,"REVISAR REDONDEO","REVISAR"))</x:f>
        <x:v>OK</x:v>
      </x:c>
      <x:c r="G5" s="12" t="str">
        <x:v>Reporte oficial 4Q22/FY22</x:v>
      </x:c>
      <x:c r="H5" s="12" t="str">
        <x:v>https://buenaventura.com/wp-content/uploads/2024/09/4to-trimestre-2022.pdf</x:v>
      </x:c>
      <x:c r="I5" s="12" t="str">
        <x:v>Control de diferencia por redondeo de los valores trimestrales publicados.</x:v>
      </x:c>
    </x:row>
    <x:row r="6">
      <x:c r="A6" s="12" t="n">
        <x:v>2023</x:v>
      </x:c>
      <x:c r="B6" s="12" t="str">
        <x:v>FY</x:v>
      </x:c>
      <x:c r="C6" s="17" t="n">
        <x:v>823.8</x:v>
      </x:c>
      <x:c r="D6" s="14" t="n">
        <x:f>SUM(Base_Ventas!D18:D21)</x:f>
        <x:v>823.9000000000001</x:v>
      </x:c>
      <x:c r="E6" s="14" t="n">
        <x:f>D6-C6</x:f>
        <x:v>0.10000000000013642</x:v>
      </x:c>
      <x:c r="F6" s="12" t="str">
        <x:f>IF(ABS(E6)&lt;0.05,"OK",IF(ABS(E6)&lt;=0.15,"REVISAR REDONDEO","REVISAR"))</x:f>
        <x:v>REVISAR REDONDEO</x:v>
      </x:c>
      <x:c r="G6" s="12" t="str">
        <x:v>Reporte oficial 4Q23/FY23</x:v>
      </x:c>
      <x:c r="H6" s="12" t="str">
        <x:v>https://buenaventura.com/wp-content/uploads/2024/09/4to-trimestre-2023.pdf</x:v>
      </x:c>
      <x:c r="I6" s="12" t="str">
        <x:v>Control de diferencia por redondeo de los valores trimestrales publicados.</x:v>
      </x:c>
    </x:row>
    <x:row r="7">
      <x:c r="A7" s="12" t="n">
        <x:v>2024</x:v>
      </x:c>
      <x:c r="B7" s="12" t="str">
        <x:v>FY</x:v>
      </x:c>
      <x:c r="C7" s="17" t="n">
        <x:v>1154.6</x:v>
      </x:c>
      <x:c r="D7" s="14" t="n">
        <x:f>SUM(Base_Ventas!D22:D25)</x:f>
        <x:v>1154.6000000000001</x:v>
      </x:c>
      <x:c r="E7" s="14" t="n">
        <x:v>0</x:v>
      </x:c>
      <x:c r="F7" s="12" t="str">
        <x:f>IF(ABS(E7)&lt;0.05,"OK",IF(ABS(E7)&lt;=0.15,"REVISAR REDONDEO","REVISAR"))</x:f>
        <x:v>OK</x:v>
      </x:c>
      <x:c r="G7" s="12" t="str">
        <x:v>Reporte oficial 4Q24/FY24</x:v>
      </x:c>
      <x:c r="H7" s="12" t="str">
        <x:v>https://www.buenaventura.com/wp-content/uploads/2025/02/4Q24-BVN-Earnings-Press-Release.pdf</x:v>
      </x:c>
      <x:c r="I7" s="12" t="str">
        <x:v>Control de diferencia por redondeo de los valores trimestrales publicados.</x:v>
      </x:c>
    </x:row>
    <x:row r="8">
      <x:c r="A8" s="12" t="n">
        <x:v>2025</x:v>
      </x:c>
      <x:c r="B8" s="12" t="str">
        <x:v>FY</x:v>
      </x:c>
      <x:c r="C8" s="17" t="n">
        <x:v>1731.6</x:v>
      </x:c>
      <x:c r="D8" s="14" t="n">
        <x:f>SUM(Base_Ventas!D26:D29)</x:f>
        <x:v>1731.6</x:v>
      </x:c>
      <x:c r="E8" s="14" t="n">
        <x:f>D8-C8</x:f>
        <x:v>0</x:v>
      </x:c>
      <x:c r="F8" s="12" t="str">
        <x:f>IF(ABS(E8)&lt;0.05,"OK",IF(ABS(E8)&lt;=0.15,"REVISAR REDONDEO","REVISAR"))</x:f>
        <x:v>OK</x:v>
      </x:c>
      <x:c r="G8" s="12" t="str">
        <x:v>Reporte oficial 4Q25/FY25</x:v>
      </x:c>
      <x:c r="H8" s="12" t="str">
        <x:v>https://buenaventura.com/wp-content/uploads/2025/02/4Q25-BVN-Earnings-Press-Release-Vf.pdf</x:v>
      </x:c>
      <x:c r="I8" s="12" t="str">
        <x:v>Control de diferencia por redondeo de los valores trimestrales publicados.</x:v>
      </x:c>
    </x:row>
    <x:row r="9">
      <x:c r="A9" s="12" t="n">
        <x:v>2026</x:v>
      </x:c>
      <x:c r="B9" s="12" t="str">
        <x:v>6M</x:v>
      </x:c>
      <x:c r="C9" s="17" t="n">
        <x:v>1153.6</x:v>
      </x:c>
      <x:c r="D9" s="14" t="n">
        <x:f>SUM(Base_Ventas!D30:D31)</x:f>
        <x:v>1153.6</x:v>
      </x:c>
      <x:c r="E9" s="14" t="n">
        <x:f>D9-C9</x:f>
        <x:v>0</x:v>
      </x:c>
      <x:c r="F9" s="12" t="str">
        <x:f>IF(ABS(E9)&lt;0.05,"OK",IF(ABS(E9)&lt;=0.15,"REVISAR REDONDEO","REVISAR"))</x:f>
        <x:v>OK</x:v>
      </x:c>
      <x:c r="G9" s="12" t="str">
        <x:v>Estado financiero consolidado intermedio 2Q26; 6M26 US$1,153.552m, redondeado</x:v>
      </x:c>
      <x:c r="H9" s="12" t="str">
        <x:v>https://buenaventura.com/wp-content/uploads/2026/04/2Q-Buenaventura-Consolidated-2026.pdf</x:v>
      </x:c>
      <x:c r="I9" s="12" t="str">
        <x:v>Acumulado del primer semestre; no es un total anual.</x:v>
      </x:c>
    </x:row>
  </x:sheetData>
  <x:pageMargins left="0.7" right="0.7" top="0.75" bottom="0.75" header="0.3" footer="0.3"/>
  <x:tableParts count="1">
    <x:tablePart xmlns:r="http://schemas.openxmlformats.org/officeDocument/2006/relationships" r:id="Red2365fa6b0142c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78" hidden="0" customWidth="1"/>
    <x:col min="3" max="3" width="86" hidden="0" customWidth="1"/>
  </x:cols>
  <x:sheetData>
    <x:row r="1" ht="30" customHeight="1">
      <x:c r="A1" s="6" t="str">
        <x:v>Campo</x:v>
      </x:c>
      <x:c r="B1" s="6" t="str">
        <x:v>Definición</x:v>
      </x:c>
      <x:c r="C1" s="6" t="str">
        <x:v>Uso / criterio</x:v>
      </x:c>
    </x:row>
    <x:row r="2">
      <x:c r="A2" s="12" t="str">
        <x:v>trimestre</x:v>
      </x:c>
      <x:c r="B2" s="12" t="str">
        <x:v>Identificador cronológico en formato AAAAQn, por ejemplo 2019Q1.</x:v>
      </x:c>
      <x:c r="C2" s="12" t="str">
        <x:v>Orden temporal y creación de rezagos.</x:v>
      </x:c>
    </x:row>
    <x:row r="3">
      <x:c r="A3" s="12" t="str">
        <x:v>anio</x:v>
      </x:c>
      <x:c r="B3" s="12" t="str">
        <x:v>Año calendario del trimestre.</x:v>
      </x:c>
      <x:c r="C3" s="12" t="str">
        <x:v>Agrupación y controles anuales.</x:v>
      </x:c>
    </x:row>
    <x:row r="4">
      <x:c r="A4" s="12" t="str">
        <x:v>numero_trimestre</x:v>
      </x:c>
      <x:c r="B4" s="12" t="str">
        <x:v>Número de trimestre, de 1 a 4.</x:v>
      </x:c>
      <x:c r="C4" s="12" t="str">
        <x:v>Estacionalidad trimestral.</x:v>
      </x:c>
    </x:row>
    <x:row r="5">
      <x:c r="A5" s="12" t="str">
        <x:v>total_revenues_usd_millones</x:v>
      </x:c>
      <x:c r="B5" s="12" t="str">
        <x:v>Total Revenues publicados por Buenaventura, en millones de dólares estadounidenses.</x:v>
      </x:c>
      <x:c r="C5" s="12" t="str">
        <x:v>Variable objetivo inicial para el pronóstico de ingresos/ventas corporativas; no es EBITDA.</x:v>
      </x:c>
    </x:row>
    <x:row r="6">
      <x:c r="A6" s="12" t="str">
        <x:v>unidad</x:v>
      </x:c>
      <x:c r="B6" s="12" t="str">
        <x:v>Unidad de medida del valor objetivo.</x:v>
      </x:c>
      <x:c r="C6" s="12" t="str">
        <x:v>No mezclar con PEN, miles de dólares ni importes de otra escala.</x:v>
      </x:c>
    </x:row>
    <x:row r="7">
      <x:c r="A7" s="12" t="str">
        <x:v>metodo_dato</x:v>
      </x:c>
      <x:c r="B7" s="12" t="str">
        <x:v>Tipo de fuente: comunicado, presentación o comparativo oficial.</x:v>
      </x:c>
      <x:c r="C7" s="12" t="str">
        <x:v>Mantiene trazabilidad; no implica que un comparativo sea una nueva cifra de origen.</x:v>
      </x:c>
    </x:row>
    <x:row r="8">
      <x:c r="A8" s="12" t="str">
        <x:v>documento_fuente</x:v>
      </x:c>
      <x:c r="B8" s="12" t="str">
        <x:v>Descripción de la publicación oficial consultada.</x:v>
      </x:c>
      <x:c r="C8" s="12" t="str">
        <x:v>Ayuda a identificar documento y periodo.</x:v>
      </x:c>
    </x:row>
    <x:row r="9">
      <x:c r="A9" s="12" t="str">
        <x:v>fuente_url</x:v>
      </x:c>
      <x:c r="B9" s="12" t="str">
        <x:v>Enlace directo a la publicación oficial de Buenaventura.</x:v>
      </x:c>
      <x:c r="C9" s="12" t="str">
        <x:v>Fuente por fila; verificar si la web actualiza o reubica documentos.</x:v>
      </x:c>
    </x:row>
    <x:row r="10">
      <x:c r="A10" s="12" t="str">
        <x:v>nota</x:v>
      </x:c>
      <x:c r="B10" s="12" t="str">
        <x:v>Observación metodológica específica del trimestre.</x:v>
      </x:c>
      <x:c r="C10" s="12" t="str">
        <x:v>Hace visibles los comparativos y particularidades.</x:v>
      </x:c>
    </x:row>
    <x:row r="11">
      <x:c r="A11" s="12" t="str">
        <x:v>cobertura</x:v>
      </x:c>
      <x:c r="B11" s="12" t="str">
        <x:v>2019Q1 a 2026Q2, 30 observaciones trimestrales.</x:v>
      </x:c>
      <x:c r="C11" s="12" t="str">
        <x:v>Q3 2026 todavía no figuraba en los estados financieros del portal al corte 19/10/2026.</x:v>
      </x:c>
    </x:row>
    <x:row r="12">
      <x:c r="A12" s="12" t="str">
        <x:v>precisión</x:v>
      </x:c>
      <x:c r="B12" s="12" t="str">
        <x:v>Valores presentados a una decimal, según cuadros corporativos de resultados.</x:v>
      </x:c>
      <x:c r="C12" s="12" t="str">
        <x:v>No aumentar decimales artificialmente. Estados intermedios 2026 muestran importes más precisos, pero se conserva una escala consistente.</x:v>
      </x:c>
    </x:row>
    <x:row r="13">
      <x:c r="A13" s="12" t="str">
        <x:v>comparabilidad</x:v>
      </x:c>
      <x:c r="B13" s="12" t="str">
        <x:v>La compañía denomina la métrica Total Revenues en sus cuadros de resultados.</x:v>
      </x:c>
      <x:c r="C13" s="12" t="str">
        <x:v>La serie es un proxy consistente de ingresos corporativos para el modelo; no confundir con la hoja transaccional DB_Ventas, ni asumir coincidencia exacta por operación/mineral.</x:v>
      </x:c>
    </x:row>
    <x:row r="14">
      <x:c r="A14" s="12" t="str">
        <x:v>uso_modelado</x:v>
      </x:c>
      <x:c r="B14" s="12" t="str">
        <x:v>Serie temporal corta de 30 observaciones.</x:v>
      </x:c>
      <x:c r="C14" s="12" t="str">
        <x:v>XGBoost puede entrenarse como ensayo, pero comparar por validación temporal contra métodos sencillos y no afirmar superioridad sin evidencia.</x:v>
      </x:c>
    </x:row>
  </x:sheetData>
  <x:pageMargins left="0.7" right="0.7" top="0.75" bottom="0.75" header="0.3" footer="0.3"/>
  <x:tableParts count="1">
    <x:tablePart xmlns:r="http://schemas.openxmlformats.org/officeDocument/2006/relationships" r:id="Ra79a9ebb5bb1485a"/>
  </x:tableParts>
</x:worksheet>
</file>